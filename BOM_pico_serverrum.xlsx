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Ur kit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 kr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808080"/>
    </font>
    <font>
      <b val="1"/>
      <color rgb="00FFFFFF"/>
    </font>
    <font>
      <color rgb="000563C1"/>
      <u val="single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4" borderId="1" pivotButton="0" quotePrefix="0" xfId="0"/>
    <xf numFmtId="0" fontId="0" fillId="4" borderId="1" pivotButton="0" quotePrefix="0" xfId="0"/>
    <xf numFmtId="164" fontId="2" fillId="4" borderId="1" pivotButton="0" quotePrefix="0" xfId="0"/>
    <xf numFmtId="164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se/dp/B0DRJV9JJW" TargetMode="External" Id="rId1"/><Relationship Type="http://schemas.openxmlformats.org/officeDocument/2006/relationships/hyperlink" Target="https://www.amazon.se/dp/B089W8DB5P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  <col width="13" customWidth="1" min="4" max="4"/>
    <col width="19" customWidth="1" min="5" max="5"/>
    <col width="44" customWidth="1" min="6" max="6"/>
    <col width="72" customWidth="1" min="7" max="7"/>
  </cols>
  <sheetData>
    <row r="1">
      <c r="A1" s="1" t="inlineStr">
        <is>
          <t>Materiallista (BOM) - piCo Serverrumsvakt</t>
        </is>
      </c>
    </row>
    <row r="2">
      <c r="A2" s="2" t="inlineStr">
        <is>
          <t>Antal prototyper:</t>
        </is>
      </c>
      <c r="B2" s="3" t="n">
        <v>1</v>
      </c>
      <c r="C2" s="4" t="inlineStr">
        <is>
          <t>&lt;- ändra här så räknas allt om automatiskt</t>
        </is>
      </c>
    </row>
    <row r="4" ht="32" customHeight="1">
      <c r="A4" s="5" t="inlineStr">
        <is>
          <t>Komponent</t>
        </is>
      </c>
      <c r="B4" s="5" t="inlineStr">
        <is>
          <t>Antal per prototyp</t>
        </is>
      </c>
      <c r="C4" s="5" t="inlineStr">
        <is>
          <t>Styckpris (SEK)</t>
        </is>
      </c>
      <c r="D4" s="5" t="inlineStr">
        <is>
          <t>Totalt antal</t>
        </is>
      </c>
      <c r="E4" s="5" t="inlineStr">
        <is>
          <t>Total kostnad (SEK)</t>
        </is>
      </c>
      <c r="F4" s="5" t="inlineStr">
        <is>
          <t>Länk</t>
        </is>
      </c>
      <c r="G4" s="5" t="inlineStr">
        <is>
          <t>Motivering</t>
        </is>
      </c>
    </row>
    <row r="5" ht="46" customHeight="1">
      <c r="A5" s="6" t="inlineStr">
        <is>
          <t>Freenove Basic Starter Kit for Raspberry Pi Pico 2 W</t>
        </is>
      </c>
      <c r="B5" s="6" t="n">
        <v>1</v>
      </c>
      <c r="C5" s="7" t="n">
        <v>390</v>
      </c>
      <c r="D5" s="6">
        <f>B5*$B$2</f>
        <v/>
      </c>
      <c r="E5" s="7">
        <f>D5*C5</f>
        <v/>
      </c>
      <c r="F5" s="8" t="inlineStr">
        <is>
          <t>https://www.amazon.se/dp/B0DRJV9JJW</t>
        </is>
      </c>
      <c r="G5" s="9" t="inlineStr">
        <is>
          <t>Kitet innehåller Pico 2 W, kopplingsdäck, kopplingskablar, lysdioder, motstånd och USB-kabel. Billigare än att köpa delarna var för sig, och vi får med reservdelar om något går sönder.</t>
        </is>
      </c>
    </row>
    <row r="6" ht="46" customHeight="1">
      <c r="A6" s="6" t="inlineStr">
        <is>
          <t>AZDelivery KY-015 DHT11 temperatursensormodul</t>
        </is>
      </c>
      <c r="B6" s="6" t="n">
        <v>1</v>
      </c>
      <c r="C6" s="7" t="n">
        <v>129</v>
      </c>
      <c r="D6" s="6">
        <f>B6*$B$2</f>
        <v/>
      </c>
      <c r="E6" s="7">
        <f>D6*C6</f>
        <v/>
      </c>
      <c r="F6" s="8" t="inlineStr">
        <is>
          <t>https://www.amazon.se/dp/B089W8DB5P</t>
        </is>
      </c>
      <c r="G6" s="9" t="inlineStr">
        <is>
          <t>Mäter både temperatur och luftfuktighet, vilket är precis de två värden vi övervakar. Ingår inte i kitet. Modulen har motståndet inbyggt så den kan kopplas direkt till en GPIO-pinne.</t>
        </is>
      </c>
    </row>
    <row r="7" ht="46" customHeight="1">
      <c r="A7" s="10" t="inlineStr">
        <is>
          <t>Summa komponenter</t>
        </is>
      </c>
      <c r="B7" s="10">
        <f>SUM(B5:B6)</f>
        <v/>
      </c>
      <c r="C7" s="11" t="n"/>
      <c r="D7" s="10">
        <f>SUM(D5:D6)</f>
        <v/>
      </c>
      <c r="E7" s="12">
        <f>SUM(E5:E6)</f>
        <v/>
      </c>
      <c r="F7" s="11" t="n"/>
      <c r="G7" s="11" t="inlineStr">
        <is>
          <t>Totalt antal komponenter och kostnad för alla prototyper</t>
        </is>
      </c>
    </row>
    <row r="8" ht="46" customHeight="1">
      <c r="A8" s="6" t="inlineStr">
        <is>
          <t>Frakt</t>
        </is>
      </c>
      <c r="B8" s="6" t="n"/>
      <c r="C8" s="7" t="n">
        <v>49</v>
      </c>
      <c r="D8" s="6" t="n"/>
      <c r="E8" s="7">
        <f>C8</f>
        <v/>
      </c>
      <c r="F8" s="6" t="n"/>
      <c r="G8" s="9" t="inlineStr">
        <is>
          <t>Engångskostnad per beställning. Växer inte med antalet prototyper eftersom allt kan beställas i samma order.</t>
        </is>
      </c>
    </row>
    <row r="9">
      <c r="A9" s="10" t="inlineStr">
        <is>
          <t>TOTALT INKLUSIVE FRAKT</t>
        </is>
      </c>
      <c r="B9" s="11" t="n"/>
      <c r="C9" s="11" t="n"/>
      <c r="D9" s="11" t="n"/>
      <c r="E9" s="12">
        <f>E7+E8</f>
        <v/>
      </c>
      <c r="F9" s="11" t="n"/>
      <c r="G9" s="11" t="n"/>
    </row>
    <row r="11">
      <c r="A11" s="2" t="inlineStr">
        <is>
          <t>Kostnad per prototyp</t>
        </is>
      </c>
      <c r="E11" s="13">
        <f>E9/B2</f>
        <v/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26" customWidth="1" min="3" max="3"/>
    <col width="78" customWidth="1" min="4" max="4"/>
  </cols>
  <sheetData>
    <row r="1">
      <c r="A1" s="14" t="inlineStr">
        <is>
          <t>Delar ur Freenove-kitet som vi använder i prototypen</t>
        </is>
      </c>
    </row>
    <row r="2">
      <c r="A2" s="4" t="inlineStr">
        <is>
          <t>Resten av kitets 142 komponenter används inte i den här produkten.</t>
        </is>
      </c>
    </row>
    <row r="4" ht="26" customHeight="1">
      <c r="A4" s="5" t="inlineStr">
        <is>
          <t>Del</t>
        </is>
      </c>
      <c r="B4" s="5" t="inlineStr">
        <is>
          <t>Antal</t>
        </is>
      </c>
      <c r="C4" s="5" t="inlineStr">
        <is>
          <t>Ansluten till</t>
        </is>
      </c>
      <c r="D4" s="5" t="inlineStr">
        <is>
          <t>Motivering</t>
        </is>
      </c>
    </row>
    <row r="5" ht="42" customHeight="1">
      <c r="A5" s="6" t="inlineStr">
        <is>
          <t>Raspberry Pi Pico 2 W</t>
        </is>
      </c>
      <c r="B5" s="6" t="n">
        <v>1</v>
      </c>
      <c r="C5" s="6" t="inlineStr">
        <is>
          <t>-</t>
        </is>
      </c>
      <c r="D5" s="9" t="inlineStr">
        <is>
          <t>Mikrokontrollern som kör MicroPython. Har inbyggt wifi så den kan skicka mätvärden över MQTT utan extra hårdvara.</t>
        </is>
      </c>
    </row>
    <row r="6" ht="42" customHeight="1">
      <c r="A6" s="6" t="inlineStr">
        <is>
          <t>Kopplingsdäck</t>
        </is>
      </c>
      <c r="B6" s="6" t="n">
        <v>1</v>
      </c>
      <c r="C6" s="6" t="inlineStr">
        <is>
          <t>-</t>
        </is>
      </c>
      <c r="D6" s="9" t="inlineStr">
        <is>
          <t>Gör att vi kan koppla prototypen utan att löda och snabbt ändra kopplingen.</t>
        </is>
      </c>
    </row>
    <row r="7" ht="42" customHeight="1">
      <c r="A7" s="6" t="inlineStr">
        <is>
          <t>Kopplingskablar hane-hane</t>
        </is>
      </c>
      <c r="B7" s="6" t="n">
        <v>5</v>
      </c>
      <c r="C7" s="6" t="inlineStr">
        <is>
          <t>-</t>
        </is>
      </c>
      <c r="D7" s="9" t="inlineStr">
        <is>
          <t>Kopplar sensorn och lysdioden till Pico:ns pinnar.</t>
        </is>
      </c>
    </row>
    <row r="8" ht="42" customHeight="1">
      <c r="A8" s="6" t="inlineStr">
        <is>
          <t>Lysdiod, grön</t>
        </is>
      </c>
      <c r="B8" s="6" t="n">
        <v>1</v>
      </c>
      <c r="C8" s="6" t="inlineStr">
        <is>
          <t>GP15 via motstånd</t>
        </is>
      </c>
      <c r="D8" s="9" t="inlineStr">
        <is>
          <t>Statuslampa direkt på enheten. Lyser fast när klimatet är OK och blinkar vid larm, så personal ser läget utan att öppna Grafana.</t>
        </is>
      </c>
    </row>
    <row r="9" ht="42" customHeight="1">
      <c r="A9" s="6" t="inlineStr">
        <is>
          <t>Motstånd 330 ohm</t>
        </is>
      </c>
      <c r="B9" s="6" t="n">
        <v>1</v>
      </c>
      <c r="C9" s="6" t="inlineStr">
        <is>
          <t>Mellan GP15 och lysdioden</t>
        </is>
      </c>
      <c r="D9" s="9" t="inlineStr">
        <is>
          <t>Strömbegränsar lysdioden så att varken dioden eller GPIO-pinnen blir förstörd.</t>
        </is>
      </c>
    </row>
    <row r="10" ht="42" customHeight="1">
      <c r="A10" s="6" t="inlineStr">
        <is>
          <t>USB-kabel</t>
        </is>
      </c>
      <c r="B10" s="6" t="n">
        <v>1</v>
      </c>
      <c r="C10" s="6" t="inlineStr">
        <is>
          <t>-</t>
        </is>
      </c>
      <c r="D10" s="9" t="inlineStr">
        <is>
          <t>Ger ström till Pico:n och används för att ladda upp koden från VS Code.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2026-09-19T00:31:40Z</dcterms:created>
  <dcterms:modified xmlns:dcterms="http://purl.org/dc/terms/" xmlns:xsi="http://www.w3.org/2001/XMLSchema-instance" xsi:type="dcterms:W3CDTF">2026-09-19T00:31:40Z</dcterms:modified>
</cp:coreProperties>
</file>