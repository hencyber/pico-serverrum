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 kr"/>
  </numFmts>
  <fonts count="6">
    <font>
      <name val="Calibri"/>
      <family val="2"/>
      <color theme="1"/>
      <sz val="11"/>
      <scheme val="minor"/>
    </font>
    <font>
      <b val="1"/>
      <sz val="14"/>
    </font>
    <font>
      <b val="1"/>
    </font>
    <font>
      <i val="1"/>
      <color rgb="00808080"/>
    </font>
    <font>
      <b val="1"/>
      <color rgb="00FFFFFF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2F5597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2" borderId="1" pivotButton="0" quotePrefix="0" xfId="0"/>
    <xf numFmtId="0" fontId="3" fillId="0" borderId="0" pivotButton="0" quotePrefix="0" xfId="0"/>
    <xf numFmtId="0" fontId="4" fillId="3" borderId="1" applyAlignment="1" pivotButton="0" quotePrefix="0" xfId="0">
      <alignment vertical="center" wrapText="1"/>
    </xf>
    <xf numFmtId="0" fontId="0" fillId="0" borderId="1" pivotButton="0" quotePrefix="0" xfId="0"/>
    <xf numFmtId="164" fontId="0" fillId="0" borderId="1" pivotButton="0" quotePrefix="0" xfId="0"/>
    <xf numFmtId="0" fontId="5" fillId="0" borderId="1" pivotButton="0" quotePrefix="0" xfId="0"/>
    <xf numFmtId="0" fontId="0" fillId="0" borderId="1" applyAlignment="1" pivotButton="0" quotePrefix="0" xfId="0">
      <alignment vertical="top" wrapText="1"/>
    </xf>
    <xf numFmtId="0" fontId="2" fillId="4" borderId="1" pivotButton="0" quotePrefix="0" xfId="0"/>
    <xf numFmtId="0" fontId="0" fillId="4" borderId="1" pivotButton="0" quotePrefix="0" xfId="0"/>
    <xf numFmtId="164" fontId="2" fillId="4" borderId="1" pivotButton="0" quotePrefix="0" xfId="0"/>
    <xf numFmtId="16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electrokit.com/raspberry-pi-pico-2-w" TargetMode="External" Id="rId1"/><Relationship Type="http://schemas.openxmlformats.org/officeDocument/2006/relationships/hyperlink" Target="https://www.electrokit.com/temperatur-och-fuktsensor-dht11" TargetMode="External" Id="rId2"/><Relationship Type="http://schemas.openxmlformats.org/officeDocument/2006/relationships/hyperlink" Target="https://www.electrokit.com/led-5mm-gron-diffus" TargetMode="External" Id="rId3"/><Relationship Type="http://schemas.openxmlformats.org/officeDocument/2006/relationships/hyperlink" Target="https://www.electrokit.com/led-5mm-rod-diffus" TargetMode="External" Id="rId4"/><Relationship Type="http://schemas.openxmlformats.org/officeDocument/2006/relationships/hyperlink" Target="https://www.electrokit.com/motstand-kolfilm-0.25w-330ohm-330r" TargetMode="External" Id="rId5"/><Relationship Type="http://schemas.openxmlformats.org/officeDocument/2006/relationships/hyperlink" Target="https://www.electrokit.com/kopplingsdack-830-anslutningar" TargetMode="External" Id="rId6"/><Relationship Type="http://schemas.openxmlformats.org/officeDocument/2006/relationships/hyperlink" Target="https://www.electrokit.com/labbsladd-40-pin-hane-hane-150mm" TargetMode="External" Id="rId7"/><Relationship Type="http://schemas.openxmlformats.org/officeDocument/2006/relationships/hyperlink" Target="https://www.electrokit.com/usb-kabel-a-hane-micro-b-hane-1.8m" TargetMode="Externa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18" customWidth="1" min="2" max="2"/>
    <col width="16" customWidth="1" min="3" max="3"/>
    <col width="13" customWidth="1" min="4" max="4"/>
    <col width="19" customWidth="1" min="5" max="5"/>
    <col width="52" customWidth="1" min="6" max="6"/>
    <col width="68" customWidth="1" min="7" max="7"/>
  </cols>
  <sheetData>
    <row r="1">
      <c r="A1" s="1" t="inlineStr">
        <is>
          <t>Materiallista (BOM) - piCo Serverrumsvakt</t>
        </is>
      </c>
    </row>
    <row r="2">
      <c r="A2" s="2" t="inlineStr">
        <is>
          <t>Antal prototyper:</t>
        </is>
      </c>
      <c r="B2" s="3" t="n">
        <v>4</v>
      </c>
      <c r="C2" s="4" t="inlineStr">
        <is>
          <t>&lt;- ändra här så räknas allt om automatiskt</t>
        </is>
      </c>
    </row>
    <row r="4" ht="32" customHeight="1">
      <c r="A4" s="5" t="inlineStr">
        <is>
          <t>Komponent</t>
        </is>
      </c>
      <c r="B4" s="5" t="inlineStr">
        <is>
          <t>Antal per prototyp</t>
        </is>
      </c>
      <c r="C4" s="5" t="inlineStr">
        <is>
          <t>Styckpris (SEK)</t>
        </is>
      </c>
      <c r="D4" s="5" t="inlineStr">
        <is>
          <t>Totalt antal</t>
        </is>
      </c>
      <c r="E4" s="5" t="inlineStr">
        <is>
          <t>Total kostnad (SEK)</t>
        </is>
      </c>
      <c r="F4" s="5" t="inlineStr">
        <is>
          <t>Länk</t>
        </is>
      </c>
      <c r="G4" s="5" t="inlineStr">
        <is>
          <t>Motivering</t>
        </is>
      </c>
    </row>
    <row r="5" ht="32" customHeight="1">
      <c r="A5" s="6" t="inlineStr">
        <is>
          <t>Raspberry Pi Pico 2 W</t>
        </is>
      </c>
      <c r="B5" s="6" t="n">
        <v>1</v>
      </c>
      <c r="C5" s="7" t="n">
        <v>89</v>
      </c>
      <c r="D5" s="6">
        <f>B5*$B$2</f>
        <v/>
      </c>
      <c r="E5" s="7">
        <f>D5*C5</f>
        <v/>
      </c>
      <c r="F5" s="8" t="inlineStr">
        <is>
          <t>https://www.electrokit.com/raspberry-pi-pico-2-w</t>
        </is>
      </c>
      <c r="G5" s="9" t="inlineStr">
        <is>
          <t>Mikrokontrollern som kör MicroPython. Har inbyggt WiFi så den kan skicka mätvärden över MQTT utan extra hårdvara.</t>
        </is>
      </c>
    </row>
    <row r="6" ht="32" customHeight="1">
      <c r="A6" s="6" t="inlineStr">
        <is>
          <t>DHT11 temp- och fuktsensor (KY-015)</t>
        </is>
      </c>
      <c r="B6" s="6" t="n">
        <v>1</v>
      </c>
      <c r="C6" s="7" t="n">
        <v>49</v>
      </c>
      <c r="D6" s="6">
        <f>B6*$B$2</f>
        <v/>
      </c>
      <c r="E6" s="7">
        <f>D6*C6</f>
        <v/>
      </c>
      <c r="F6" s="8" t="inlineStr">
        <is>
          <t>https://www.electrokit.com/temperatur-och-fuktsensor-dht11</t>
        </is>
      </c>
      <c r="G6" s="9" t="inlineStr">
        <is>
          <t>Mäter både temperatur och luftfuktighet, vilket är precis de två värden vi övervakar i serverrummet.</t>
        </is>
      </c>
    </row>
    <row r="7" ht="32" customHeight="1">
      <c r="A7" s="6" t="inlineStr">
        <is>
          <t>Lysdiod 5mm grön</t>
        </is>
      </c>
      <c r="B7" s="6" t="n">
        <v>1</v>
      </c>
      <c r="C7" s="7" t="n">
        <v>5</v>
      </c>
      <c r="D7" s="6">
        <f>B7*$B$2</f>
        <v/>
      </c>
      <c r="E7" s="7">
        <f>D7*C7</f>
        <v/>
      </c>
      <c r="F7" s="8" t="inlineStr">
        <is>
          <t>https://www.electrokit.com/led-5mm-gron-diffus</t>
        </is>
      </c>
      <c r="G7" s="9" t="inlineStr">
        <is>
          <t>Visar direkt på enheten att klimatet är OK, så personal ser status utan att öppna Grafana.</t>
        </is>
      </c>
    </row>
    <row r="8" ht="32" customHeight="1">
      <c r="A8" s="6" t="inlineStr">
        <is>
          <t>Lysdiod 5mm röd</t>
        </is>
      </c>
      <c r="B8" s="6" t="n">
        <v>1</v>
      </c>
      <c r="C8" s="7" t="n">
        <v>5</v>
      </c>
      <c r="D8" s="6">
        <f>B8*$B$2</f>
        <v/>
      </c>
      <c r="E8" s="7">
        <f>D8*C8</f>
        <v/>
      </c>
      <c r="F8" s="8" t="inlineStr">
        <is>
          <t>https://www.electrokit.com/led-5mm-rod-diffus</t>
        </is>
      </c>
      <c r="G8" s="9" t="inlineStr">
        <is>
          <t>Larmindikator som tänds lokalt när temperatur eller fuktighet går över gränsvärdet.</t>
        </is>
      </c>
    </row>
    <row r="9" ht="32" customHeight="1">
      <c r="A9" s="6" t="inlineStr">
        <is>
          <t>Motstånd 330 ohm</t>
        </is>
      </c>
      <c r="B9" s="6" t="n">
        <v>2</v>
      </c>
      <c r="C9" s="7" t="n">
        <v>2</v>
      </c>
      <c r="D9" s="6">
        <f>B9*$B$2</f>
        <v/>
      </c>
      <c r="E9" s="7">
        <f>D9*C9</f>
        <v/>
      </c>
      <c r="F9" s="8" t="inlineStr">
        <is>
          <t>https://www.electrokit.com/motstand-kolfilm-0.25w-330ohm-330r</t>
        </is>
      </c>
      <c r="G9" s="9" t="inlineStr">
        <is>
          <t>Strömbegränsar lysdioderna så att varken dioderna eller GPIO-pinnarna blir förstörda.</t>
        </is>
      </c>
    </row>
    <row r="10" ht="32" customHeight="1">
      <c r="A10" s="6" t="inlineStr">
        <is>
          <t>Kopplingsdäck 830 hål</t>
        </is>
      </c>
      <c r="B10" s="6" t="n">
        <v>1</v>
      </c>
      <c r="C10" s="7" t="n">
        <v>69</v>
      </c>
      <c r="D10" s="6">
        <f>B10*$B$2</f>
        <v/>
      </c>
      <c r="E10" s="7">
        <f>D10*C10</f>
        <v/>
      </c>
      <c r="F10" s="8" t="inlineStr">
        <is>
          <t>https://www.electrokit.com/kopplingsdack-830-anslutningar</t>
        </is>
      </c>
      <c r="G10" s="9" t="inlineStr">
        <is>
          <t>Gör att vi kan koppla prototypen utan att löda och snabbt kan ändra kopplingen.</t>
        </is>
      </c>
    </row>
    <row r="11" ht="32" customHeight="1">
      <c r="A11" s="6" t="inlineStr">
        <is>
          <t>Kopplingskablar hane-hane 40-pack</t>
        </is>
      </c>
      <c r="B11" s="6" t="n">
        <v>1</v>
      </c>
      <c r="C11" s="7" t="n">
        <v>39</v>
      </c>
      <c r="D11" s="6">
        <f>B11*$B$2</f>
        <v/>
      </c>
      <c r="E11" s="7">
        <f>D11*C11</f>
        <v/>
      </c>
      <c r="F11" s="8" t="inlineStr">
        <is>
          <t>https://www.electrokit.com/labbsladd-40-pin-hane-hane-150mm</t>
        </is>
      </c>
      <c r="G11" s="9" t="inlineStr">
        <is>
          <t>Behövs för att koppla ihop sensor och lysdioder med Pico:ns GPIO-pinnar.</t>
        </is>
      </c>
    </row>
    <row r="12" ht="32" customHeight="1">
      <c r="A12" s="6" t="inlineStr">
        <is>
          <t>USB-kabel A - micro B</t>
        </is>
      </c>
      <c r="B12" s="6" t="n">
        <v>1</v>
      </c>
      <c r="C12" s="7" t="n">
        <v>29</v>
      </c>
      <c r="D12" s="6">
        <f>B12*$B$2</f>
        <v/>
      </c>
      <c r="E12" s="7">
        <f>D12*C12</f>
        <v/>
      </c>
      <c r="F12" s="8" t="inlineStr">
        <is>
          <t>https://www.electrokit.com/usb-kabel-a-hane-micro-b-hane-1.8m</t>
        </is>
      </c>
      <c r="G12" s="9" t="inlineStr">
        <is>
          <t>Ger ström till Pico:n och används för att ladda upp koden från VS Code.</t>
        </is>
      </c>
    </row>
    <row r="13">
      <c r="A13" s="10" t="inlineStr">
        <is>
          <t>TOTALT</t>
        </is>
      </c>
      <c r="B13" s="10">
        <f>SUM(B5:B12)</f>
        <v/>
      </c>
      <c r="C13" s="11" t="n"/>
      <c r="D13" s="10">
        <f>SUM(D5:D12)</f>
        <v/>
      </c>
      <c r="E13" s="12">
        <f>SUM(E5:E12)</f>
        <v/>
      </c>
      <c r="F13" s="11" t="n"/>
      <c r="G13" s="11" t="inlineStr">
        <is>
          <t>Totalt antal komponenter och total kostnad för alla prototyper</t>
        </is>
      </c>
    </row>
    <row r="15">
      <c r="A15" s="2" t="inlineStr">
        <is>
          <t>Kostnad per prototyp</t>
        </is>
      </c>
      <c r="E15" s="13">
        <f>E13/B2</f>
        <v/>
      </c>
    </row>
  </sheetData>
  <hyperlinks>
    <hyperlink xmlns:r="http://schemas.openxmlformats.org/officeDocument/2006/relationships" ref="F5" r:id="rId1"/>
    <hyperlink xmlns:r="http://schemas.openxmlformats.org/officeDocument/2006/relationships" ref="F6" r:id="rId2"/>
    <hyperlink xmlns:r="http://schemas.openxmlformats.org/officeDocument/2006/relationships" ref="F7" r:id="rId3"/>
    <hyperlink xmlns:r="http://schemas.openxmlformats.org/officeDocument/2006/relationships" ref="F8" r:id="rId4"/>
    <hyperlink xmlns:r="http://schemas.openxmlformats.org/officeDocument/2006/relationships" ref="F9" r:id="rId5"/>
    <hyperlink xmlns:r="http://schemas.openxmlformats.org/officeDocument/2006/relationships" ref="F10" r:id="rId6"/>
    <hyperlink xmlns:r="http://schemas.openxmlformats.org/officeDocument/2006/relationships" ref="F11" r:id="rId7"/>
    <hyperlink xmlns:r="http://schemas.openxmlformats.org/officeDocument/2006/relationships" ref="F12" r:id="rId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2026-09-18T18:17:32Z</dcterms:created>
  <dcterms:modified xmlns:dcterms="http://purl.org/dc/terms/" xmlns:xsi="http://www.w3.org/2001/XMLSchema-instance" xsi:type="dcterms:W3CDTF">2026-09-18T18:17:32Z</dcterms:modified>
</cp:coreProperties>
</file>