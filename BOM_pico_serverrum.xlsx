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eriallis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kr"/>
  </numFmts>
  <fonts count="8">
    <font>
      <name val="Calibri"/>
      <family val="2"/>
      <color theme="1"/>
      <sz val="11"/>
      <scheme val="minor"/>
    </font>
    <font>
      <b val="1"/>
      <color rgb="002F5597"/>
      <sz val="15"/>
    </font>
    <font>
      <i val="1"/>
      <color rgb="00808080"/>
    </font>
    <font>
      <b val="1"/>
    </font>
    <font>
      <b val="1"/>
      <sz val="12"/>
    </font>
    <font>
      <b val="1"/>
      <color rgb="002F5597"/>
      <sz val="12"/>
    </font>
    <font>
      <b val="1"/>
      <color rgb="00FFFFFF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7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1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se/dp/B0DRJV9JJW" TargetMode="External" Id="rId1"/><Relationship Type="http://schemas.openxmlformats.org/officeDocument/2006/relationships/hyperlink" Target="https://www.amazon.se/dp/B089W8DB5P" TargetMode="External" Id="rId2"/><Relationship Type="http://schemas.openxmlformats.org/officeDocument/2006/relationships/hyperlink" Target="https://www.amazon.se/dp/B0DRJV9JJW" TargetMode="External" Id="rId3"/><Relationship Type="http://schemas.openxmlformats.org/officeDocument/2006/relationships/hyperlink" Target="https://www.amazon.se/dp/B089W8DB5P" TargetMode="External" Id="rId4"/><Relationship Type="http://schemas.openxmlformats.org/officeDocument/2006/relationships/hyperlink" Target="https://www.amazon.se/dp/B0DRJV9JJW" TargetMode="External" Id="rId5"/><Relationship Type="http://schemas.openxmlformats.org/officeDocument/2006/relationships/hyperlink" Target="https://www.amazon.se/dp/B0DRJV9JJW" TargetMode="External" Id="rId6"/><Relationship Type="http://schemas.openxmlformats.org/officeDocument/2006/relationships/hyperlink" Target="https://www.amazon.se/dp/B0DRJV9JJW" TargetMode="External" Id="rId7"/><Relationship Type="http://schemas.openxmlformats.org/officeDocument/2006/relationships/hyperlink" Target="https://www.amazon.se/dp/B0DRJV9JJW" TargetMode="External" Id="rId8"/><Relationship Type="http://schemas.openxmlformats.org/officeDocument/2006/relationships/hyperlink" Target="https://www.amazon.se/dp/B0DRJV9JJW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20" customWidth="1" min="4" max="4"/>
    <col width="19" customWidth="1" min="5" max="5"/>
    <col width="40" customWidth="1" min="6" max="6"/>
    <col width="70" customWidth="1" min="7" max="7"/>
  </cols>
  <sheetData>
    <row r="1">
      <c r="A1" s="1" t="inlineStr">
        <is>
          <t>Materiallista (BOM) - piCo Serverrumsvakt</t>
        </is>
      </c>
    </row>
    <row r="2">
      <c r="A2" s="2" t="inlineStr">
        <is>
          <t>Grupp: Henrik, Tarik, Salah och Alan</t>
        </is>
      </c>
    </row>
    <row r="4">
      <c r="A4" s="3" t="inlineStr">
        <is>
          <t>Antal prototyper:</t>
        </is>
      </c>
      <c r="B4" s="4" t="n">
        <v>1</v>
      </c>
      <c r="C4" s="2" t="inlineStr">
        <is>
          <t>&lt;- ändra här, allt nedan räknas om automatiskt</t>
        </is>
      </c>
    </row>
    <row r="6">
      <c r="A6" s="5" t="inlineStr">
        <is>
          <t>Vad vi har köpt</t>
        </is>
      </c>
    </row>
    <row r="7">
      <c r="A7" s="2" t="inlineStr">
        <is>
          <t>Artiklarna vi beställde. Startkitet innehåller flera av komponenterna i tabellen längre ned.</t>
        </is>
      </c>
    </row>
    <row r="9" ht="30" customHeight="1">
      <c r="A9" s="6" t="inlineStr">
        <is>
          <t>Artikel</t>
        </is>
      </c>
      <c r="B9" s="6" t="inlineStr">
        <is>
          <t>Antal per prototyp</t>
        </is>
      </c>
      <c r="C9" s="6" t="inlineStr">
        <is>
          <t>Totalt antal</t>
        </is>
      </c>
      <c r="D9" s="6" t="inlineStr">
        <is>
          <t>Styckpris (SEK)</t>
        </is>
      </c>
      <c r="E9" s="6" t="inlineStr">
        <is>
          <t>Total kostnad (SEK)</t>
        </is>
      </c>
      <c r="F9" s="6" t="inlineStr">
        <is>
          <t>Länk</t>
        </is>
      </c>
      <c r="G9" s="6" t="inlineStr">
        <is>
          <t>Motivering</t>
        </is>
      </c>
    </row>
    <row r="10" ht="46" customHeight="1">
      <c r="A10" s="7" t="inlineStr">
        <is>
          <t>Freenove Basic Starter Kit for Raspberry Pi Pico 2 W</t>
        </is>
      </c>
      <c r="B10" s="7" t="n">
        <v>1</v>
      </c>
      <c r="C10" s="7">
        <f>B10*$B$4</f>
        <v/>
      </c>
      <c r="D10" s="8" t="n">
        <v>390</v>
      </c>
      <c r="E10" s="8">
        <f>C10*D10</f>
        <v/>
      </c>
      <c r="F10" s="9" t="inlineStr">
        <is>
          <t>https://www.amazon.se/dp/B0DRJV9JJW</t>
        </is>
      </c>
      <c r="G10" s="10" t="inlineStr">
        <is>
          <t>Innehåller Pico 2 W, kopplingsdäck, kopplingskablar, lysdioder, motstånd och USB-kabel. Billigare än att köpa delarna var för sig och vi får reservdelar om något går sönder.</t>
        </is>
      </c>
    </row>
    <row r="11" ht="46" customHeight="1">
      <c r="A11" s="7" t="inlineStr">
        <is>
          <t>AZDelivery KY-015 DHT11 temperatursensormodul</t>
        </is>
      </c>
      <c r="B11" s="7" t="n">
        <v>1</v>
      </c>
      <c r="C11" s="7">
        <f>B11*$B$4</f>
        <v/>
      </c>
      <c r="D11" s="8" t="n">
        <v>129</v>
      </c>
      <c r="E11" s="8">
        <f>C11*D11</f>
        <v/>
      </c>
      <c r="F11" s="9" t="inlineStr">
        <is>
          <t>https://www.amazon.se/dp/B089W8DB5P</t>
        </is>
      </c>
      <c r="G11" s="10" t="inlineStr">
        <is>
          <t>Mäter både temperatur och luftfuktighet, precis de två värden vi övervakar. Ingår inte i kitet. Modulen har motståndet inbyggt och kan kopplas direkt till en GPIO-pinne.</t>
        </is>
      </c>
    </row>
    <row r="12" ht="36" customHeight="1">
      <c r="A12" s="7" t="inlineStr">
        <is>
          <t>Frakt</t>
        </is>
      </c>
      <c r="B12" s="7" t="inlineStr">
        <is>
          <t>-</t>
        </is>
      </c>
      <c r="C12" s="7" t="inlineStr">
        <is>
          <t>-</t>
        </is>
      </c>
      <c r="D12" s="8" t="n">
        <v>49</v>
      </c>
      <c r="E12" s="8">
        <f>D12</f>
        <v/>
      </c>
      <c r="F12" s="7" t="n"/>
      <c r="G12" s="10" t="inlineStr">
        <is>
          <t>Engångskostnad per beställning. Växer inte med antalet prototyper eftersom allt kan beställas i samma order.</t>
        </is>
      </c>
    </row>
    <row r="13">
      <c r="A13" s="11" t="inlineStr">
        <is>
          <t>TOTAL KOSTNAD</t>
        </is>
      </c>
      <c r="B13" s="12" t="n"/>
      <c r="C13" s="12" t="n"/>
      <c r="D13" s="12" t="n"/>
      <c r="E13" s="13">
        <f>SUM(E10:E12)</f>
        <v/>
      </c>
      <c r="F13" s="12" t="n"/>
      <c r="G13" s="12" t="n"/>
    </row>
    <row r="15">
      <c r="A15" s="5" t="inlineStr">
        <is>
          <t>Vad prototypen består av</t>
        </is>
      </c>
    </row>
    <row r="16">
      <c r="A16" s="2" t="inlineStr">
        <is>
          <t>Komponenterna som sitter på kopplingsdäcket. Sex av dem kommer ur startkitet, sensorn köpte vi separat.</t>
        </is>
      </c>
    </row>
    <row r="18" ht="30" customHeight="1">
      <c r="A18" s="6" t="inlineStr">
        <is>
          <t>Komponent</t>
        </is>
      </c>
      <c r="B18" s="6" t="inlineStr">
        <is>
          <t>Antal per prototyp</t>
        </is>
      </c>
      <c r="C18" s="6" t="inlineStr">
        <is>
          <t>Totalt antal</t>
        </is>
      </c>
      <c r="D18" s="6" t="inlineStr">
        <is>
          <t>Kostnad</t>
        </is>
      </c>
      <c r="E18" s="6" t="inlineStr">
        <is>
          <t>Kommer från</t>
        </is>
      </c>
      <c r="F18" s="6" t="inlineStr">
        <is>
          <t>Länk</t>
        </is>
      </c>
      <c r="G18" s="6" t="inlineStr">
        <is>
          <t>Motivering</t>
        </is>
      </c>
    </row>
    <row r="19" ht="42" customHeight="1">
      <c r="A19" s="7" t="inlineStr">
        <is>
          <t>Raspberry Pi Pico 2 W</t>
        </is>
      </c>
      <c r="B19" s="7" t="n">
        <v>1</v>
      </c>
      <c r="C19" s="7">
        <f>B19*$B$4</f>
        <v/>
      </c>
      <c r="D19" s="7" t="inlineStr">
        <is>
          <t>Ingår i kitet (390 kr)</t>
        </is>
      </c>
      <c r="E19" s="7" t="inlineStr">
        <is>
          <t>Startkitet</t>
        </is>
      </c>
      <c r="F19" s="9" t="inlineStr">
        <is>
          <t>https://www.amazon.se/dp/B0DRJV9JJW</t>
        </is>
      </c>
      <c r="G19" s="10" t="inlineStr">
        <is>
          <t>Mikrokontrollern som kör MicroPython. Har inbyggt wifi så den kan skicka mätvärden över MQTT utan extra hårdvara.</t>
        </is>
      </c>
    </row>
    <row r="20" ht="42" customHeight="1">
      <c r="A20" s="7" t="inlineStr">
        <is>
          <t>DHT11 temperatur- och fuktsensor</t>
        </is>
      </c>
      <c r="B20" s="7" t="n">
        <v>1</v>
      </c>
      <c r="C20" s="7">
        <f>B20*$B$4</f>
        <v/>
      </c>
      <c r="D20" s="7" t="inlineStr">
        <is>
          <t>129 kr</t>
        </is>
      </c>
      <c r="E20" s="7" t="inlineStr">
        <is>
          <t>Köpt separat</t>
        </is>
      </c>
      <c r="F20" s="9" t="inlineStr">
        <is>
          <t>https://www.amazon.se/dp/B089W8DB5P</t>
        </is>
      </c>
      <c r="G20" s="10" t="inlineStr">
        <is>
          <t>Mäter temperatur och luftfuktighet var tredje sekund. Sitter på GP16.</t>
        </is>
      </c>
    </row>
    <row r="21" ht="42" customHeight="1">
      <c r="A21" s="7" t="inlineStr">
        <is>
          <t>Kopplingsdäck</t>
        </is>
      </c>
      <c r="B21" s="7" t="n">
        <v>1</v>
      </c>
      <c r="C21" s="7">
        <f>B21*$B$4</f>
        <v/>
      </c>
      <c r="D21" s="7" t="inlineStr">
        <is>
          <t>Ingår i kitet (390 kr)</t>
        </is>
      </c>
      <c r="E21" s="7" t="inlineStr">
        <is>
          <t>Startkitet</t>
        </is>
      </c>
      <c r="F21" s="9" t="inlineStr">
        <is>
          <t>https://www.amazon.se/dp/B0DRJV9JJW</t>
        </is>
      </c>
      <c r="G21" s="10" t="inlineStr">
        <is>
          <t>Gör att vi kan koppla prototypen utan att löda och snabbt ändra kopplingen.</t>
        </is>
      </c>
    </row>
    <row r="22" ht="42" customHeight="1">
      <c r="A22" s="7" t="inlineStr">
        <is>
          <t>Kopplingskablar hane-hane</t>
        </is>
      </c>
      <c r="B22" s="7" t="n">
        <v>5</v>
      </c>
      <c r="C22" s="7">
        <f>B22*$B$4</f>
        <v/>
      </c>
      <c r="D22" s="7" t="inlineStr">
        <is>
          <t>Ingår i kitet (390 kr)</t>
        </is>
      </c>
      <c r="E22" s="7" t="inlineStr">
        <is>
          <t>Startkitet</t>
        </is>
      </c>
      <c r="F22" s="9" t="inlineStr">
        <is>
          <t>https://www.amazon.se/dp/B0DRJV9JJW</t>
        </is>
      </c>
      <c r="G22" s="10" t="inlineStr">
        <is>
          <t>Kopplar sensorn och lysdioden till Pico:ns pinnar.</t>
        </is>
      </c>
    </row>
    <row r="23" ht="42" customHeight="1">
      <c r="A23" s="7" t="inlineStr">
        <is>
          <t>Lysdiod 5 mm, grön</t>
        </is>
      </c>
      <c r="B23" s="7" t="n">
        <v>1</v>
      </c>
      <c r="C23" s="7">
        <f>B23*$B$4</f>
        <v/>
      </c>
      <c r="D23" s="7" t="inlineStr">
        <is>
          <t>Ingår i kitet (390 kr)</t>
        </is>
      </c>
      <c r="E23" s="7" t="inlineStr">
        <is>
          <t>Startkitet</t>
        </is>
      </c>
      <c r="F23" s="9" t="inlineStr">
        <is>
          <t>https://www.amazon.se/dp/B0DRJV9JJW</t>
        </is>
      </c>
      <c r="G23" s="10" t="inlineStr">
        <is>
          <t>Statuslampa på enheten. Lyser fast när klimatet är OK och blinkar vid larm, så personal ser läget utan att öppna Grafana. Sitter på GP15.</t>
        </is>
      </c>
    </row>
    <row r="24" ht="42" customHeight="1">
      <c r="A24" s="7" t="inlineStr">
        <is>
          <t>Motstånd 330 ohm</t>
        </is>
      </c>
      <c r="B24" s="7" t="n">
        <v>1</v>
      </c>
      <c r="C24" s="7">
        <f>B24*$B$4</f>
        <v/>
      </c>
      <c r="D24" s="7" t="inlineStr">
        <is>
          <t>Ingår i kitet (390 kr)</t>
        </is>
      </c>
      <c r="E24" s="7" t="inlineStr">
        <is>
          <t>Startkitet</t>
        </is>
      </c>
      <c r="F24" s="9" t="inlineStr">
        <is>
          <t>https://www.amazon.se/dp/B0DRJV9JJW</t>
        </is>
      </c>
      <c r="G24" s="10" t="inlineStr">
        <is>
          <t>Strömbegränsar lysdioden så att varken dioden eller GPIO-pinnen blir förstörd.</t>
        </is>
      </c>
    </row>
    <row r="25" ht="42" customHeight="1">
      <c r="A25" s="7" t="inlineStr">
        <is>
          <t>USB-kabel</t>
        </is>
      </c>
      <c r="B25" s="7" t="n">
        <v>1</v>
      </c>
      <c r="C25" s="7">
        <f>B25*$B$4</f>
        <v/>
      </c>
      <c r="D25" s="7" t="inlineStr">
        <is>
          <t>Ingår i kitet (390 kr)</t>
        </is>
      </c>
      <c r="E25" s="7" t="inlineStr">
        <is>
          <t>Startkitet</t>
        </is>
      </c>
      <c r="F25" s="9" t="inlineStr">
        <is>
          <t>https://www.amazon.se/dp/B0DRJV9JJW</t>
        </is>
      </c>
      <c r="G25" s="10" t="inlineStr">
        <is>
          <t>Ger ström till Pico:n och används för att ladda upp koden från VS Code.</t>
        </is>
      </c>
    </row>
    <row r="26">
      <c r="A26" s="11" t="inlineStr">
        <is>
          <t>TOTALT ANTAL KOMPONENTER</t>
        </is>
      </c>
      <c r="B26" s="11">
        <f>SUM(B19:B25)</f>
        <v/>
      </c>
      <c r="C26" s="11">
        <f>SUM(C19:C25)</f>
        <v/>
      </c>
      <c r="D26" s="12" t="n"/>
      <c r="E26" s="12" t="n"/>
      <c r="F26" s="12" t="n"/>
      <c r="G26" s="12" t="inlineStr">
        <is>
          <t>Antal delar per prototyp och totalt för alla prototyper</t>
        </is>
      </c>
    </row>
    <row r="28">
      <c r="A28" s="5" t="inlineStr">
        <is>
          <t>Nyckeltal</t>
        </is>
      </c>
    </row>
    <row r="29">
      <c r="A29" s="3" t="inlineStr">
        <is>
          <t>Kostnad per prototyp</t>
        </is>
      </c>
      <c r="B29" s="13">
        <f>(E13-E12)/B4</f>
        <v/>
      </c>
    </row>
    <row r="30">
      <c r="A30" s="3" t="inlineStr">
        <is>
          <t>Kostnad inklusive frakt</t>
        </is>
      </c>
      <c r="B30" s="13">
        <f>E13</f>
        <v/>
      </c>
    </row>
    <row r="31">
      <c r="A31" s="3" t="inlineStr">
        <is>
          <t>Antal komponenter per prototyp</t>
        </is>
      </c>
      <c r="B31" s="14">
        <f>B26</f>
        <v/>
      </c>
    </row>
  </sheetData>
  <hyperlinks>
    <hyperlink xmlns:r="http://schemas.openxmlformats.org/officeDocument/2006/relationships" ref="F10" r:id="rId1"/>
    <hyperlink xmlns:r="http://schemas.openxmlformats.org/officeDocument/2006/relationships" ref="F11" r:id="rId2"/>
    <hyperlink xmlns:r="http://schemas.openxmlformats.org/officeDocument/2006/relationships" ref="F19" r:id="rId3"/>
    <hyperlink xmlns:r="http://schemas.openxmlformats.org/officeDocument/2006/relationships" ref="F20" r:id="rId4"/>
    <hyperlink xmlns:r="http://schemas.openxmlformats.org/officeDocument/2006/relationships" ref="F21" r:id="rId5"/>
    <hyperlink xmlns:r="http://schemas.openxmlformats.org/officeDocument/2006/relationships" ref="F22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2026-09-19T00:43:52Z</dcterms:created>
  <dcterms:modified xmlns:dcterms="http://purl.org/dc/terms/" xmlns:xsi="http://www.w3.org/2001/XMLSchema-instance" xsi:type="dcterms:W3CDTF">2026-09-19T00:43:52Z</dcterms:modified>
</cp:coreProperties>
</file>